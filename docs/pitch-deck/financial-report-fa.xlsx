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ni\ArioNex\codes\ArioNex\docs\pitch-deck\"/>
    </mc:Choice>
  </mc:AlternateContent>
  <xr:revisionPtr revIDLastSave="0" documentId="13_ncr:1_{23598545-938A-4F2D-97AC-883CAFA3977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خلاصه" sheetId="1" r:id="rId1"/>
    <sheet name="سناریوهای درآمدی" sheetId="2" r:id="rId2"/>
    <sheet name="جریان نقدی ماهانه" sheetId="3" r:id="rId3"/>
    <sheet name="هزینه‌کرد سرمایه" sheetId="4" r:id="rId4"/>
  </sheets>
  <calcPr calcId="0"/>
</workbook>
</file>

<file path=xl/sharedStrings.xml><?xml version="1.0" encoding="utf-8"?>
<sst xmlns="http://schemas.openxmlformats.org/spreadsheetml/2006/main" count="55" uniqueCount="55">
  <si>
    <t>گزارش مالی و سرمایه‌گذاری آریونکس (ArioNex)</t>
  </si>
  <si>
    <t>شاخص</t>
  </si>
  <si>
    <t>مقدار</t>
  </si>
  <si>
    <t>سرمایه پیشنهادی</t>
  </si>
  <si>
    <t>۱.۵ میلیارد تومان</t>
  </si>
  <si>
    <t>ارزش‌گذاری پیشنهادی</t>
  </si>
  <si>
    <t>۴.۵ - ۶ میلیارد تومان</t>
  </si>
  <si>
    <t>درآمد فعلی</t>
  </si>
  <si>
    <t>صفر (مرحله پیش از درآمد)</t>
  </si>
  <si>
    <t>هدف درآمد سال اول (واقع‌بینانه)</t>
  </si>
  <si>
    <t>۱.۶۸ میلیارد تومان</t>
  </si>
  <si>
    <t>نقطه سربه‌سر</t>
  </si>
  <si>
    <t>ماه ۶-۷</t>
  </si>
  <si>
    <t>تعداد مشتری هدف سال اول</t>
  </si>
  <si>
    <t>۸ مشتری سازمانی</t>
  </si>
  <si>
    <t>هزینه ماهانه متوسط</t>
  </si>
  <si>
    <t>۱۰۰ - ۲۵۰ میلیون تومان</t>
  </si>
  <si>
    <t>مدت Runway</t>
  </si>
  <si>
    <t>۱۲ ماه</t>
  </si>
  <si>
    <t>سناریوهای درآمدی ۳ ساله</t>
  </si>
  <si>
    <t>سناریو</t>
  </si>
  <si>
    <t>مشتری سال ۱</t>
  </si>
  <si>
    <t>مشتری سال ۲</t>
  </si>
  <si>
    <t>مشتری سال ۳</t>
  </si>
  <si>
    <t>درآمد سال ۱ (تومان)</t>
  </si>
  <si>
    <t>درآمد سال ۲ (تومان)</t>
  </si>
  <si>
    <t>درآمد سال ۳ (تومان)</t>
  </si>
  <si>
    <t>احتمال</t>
  </si>
  <si>
    <t>بدبینانه</t>
  </si>
  <si>
    <t>واقع‌بینانه</t>
  </si>
  <si>
    <t>خوش‌بینانه</t>
  </si>
  <si>
    <t>میانگین وزنی درآمد سال ۱:</t>
  </si>
  <si>
    <t>میانگین وزنی درآمد سال ۳:</t>
  </si>
  <si>
    <t>جریان نقدی ۱۲ ماهه - سناریوی واقع‌بینانه (میلیون تومان)</t>
  </si>
  <si>
    <t>ماه</t>
  </si>
  <si>
    <t>مشتری فعال</t>
  </si>
  <si>
    <t>درآمد</t>
  </si>
  <si>
    <t>هزینه</t>
  </si>
  <si>
    <t>جریان نقدی</t>
  </si>
  <si>
    <t>جریان نقدی تجمعی</t>
  </si>
  <si>
    <t>تخصیص سرمایه ۱.۵ میلیارد تومانی</t>
  </si>
  <si>
    <t>حوزه</t>
  </si>
  <si>
    <t>سهم (%)</t>
  </si>
  <si>
    <t>مبلغ (تومان)</t>
  </si>
  <si>
    <t>جزئیات</t>
  </si>
  <si>
    <t>توسعه محصول، API و بهینه‌سازی مدل</t>
  </si>
  <si>
    <t>بهبود RAG، امنیت، کنترل مصرف، آماده‌سازی پایلوت</t>
  </si>
  <si>
    <t>فروش B2B و بازاریابی هدفمند</t>
  </si>
  <si>
    <t>جلسات سازمانی، پایلوت، محتوا، دمو و همکاری کانالی</t>
  </si>
  <si>
    <t>نیروی انسانی فنی و محصول</t>
  </si>
  <si>
    <t>بخشی از هزینه تیم برای توسعه پایدار و پشتیبانی پایلوت</t>
  </si>
  <si>
    <t>سرور، امنیت و زیرساخت</t>
  </si>
  <si>
    <t>سرور تست، مانیتورینگ، ذخیره‌سازی امن و آماده‌سازی SLA</t>
  </si>
  <si>
    <t>ثبت شرکت، حقوقی و عملیات</t>
  </si>
  <si>
    <t>ثبت شرکت، قرارداد محرمانگی، حریم خصوصی و امور اداری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</si>
</sst>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10">
    <font>
      <sz val="11"/>
      <color theme="1"/>
      <name val="Calibri"/>
      <family val="2"/>
      <scheme val="minor"/>
    </font>
    <font>
      <b/>
      <sz val="14"/>
      <color rgb="FF1F3864"/>
      <name val="B Nazanin"/>
    </font>
    <font>
      <b/>
      <sz val="10"/>
      <name val="B Nazanin"/>
    </font>
    <font>
      <sz val="10"/>
      <name val="B Nazanin"/>
    </font>
    <font>
      <b/>
      <sz val="11"/>
      <color rgb="FFFFFFFF"/>
      <name val="B Nazanin"/>
    </font>
    <font>
      <sz val="10"/>
      <name val="Calibri"/>
    </font>
    <font>
      <b/>
      <sz val="10"/>
      <color rgb="FFFFFFFF"/>
      <name val="B Nazanin"/>
    </font>
    <font>
      <b/>
      <sz val="10"/>
      <name val="Calibri"/>
    </font>
    <font>
      <b/>
      <sz val="10"/>
      <color rgb="FFC00000"/>
      <name val="Calibri"/>
    </font>
    <font>
      <b/>
      <sz val="10"/>
      <color rgb="FF70AD4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BDD7EE"/>
        <bgColor rgb="FFBDD7EE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/>
    <xf numFmtId="3" fontId="7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مقایسه درآمد در سناریوهای مختلف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'سناریوهای درآمدی'!$E$3</c:f>
              <c:strCache>
                <c:ptCount val="1"/>
                <c:pt idx="0">
                  <c:v>درآمد سال ۱ (تومان)</c:v>
                </c:pt>
              </c:strCache>
            </c:strRef>
          </c:tx>
          <c:spPr>
            <a:solidFill>
              <a:srgbClr val="FFC000"/>
            </a:solidFill>
            <a:ln>
              <a:prstDash val="solid"/>
            </a:ln>
          </c:spPr>
          <c:invertIfNegative val="1"/>
          <c:cat>
            <c:strRef>
              <c:f>'سناریوهای درآمدی'!$A$4:$A$6</c:f>
              <c:strCache>
                <c:ptCount val="3"/>
                <c:pt idx="0">
                  <c:v>بدبینانه</c:v>
                </c:pt>
                <c:pt idx="1">
                  <c:v>واقع‌بینانه</c:v>
                </c:pt>
                <c:pt idx="2">
                  <c:v>خوش‌بینانه</c:v>
                </c:pt>
              </c:strCache>
            </c:strRef>
          </c:cat>
          <c:val>
            <c:numRef>
              <c:f>'سناریوهای درآمدی'!$E$4:$E$6</c:f>
              <c:numCache>
                <c:formatCode>#,##0</c:formatCode>
                <c:ptCount val="3"/>
                <c:pt idx="0">
                  <c:v>540000000</c:v>
                </c:pt>
                <c:pt idx="1">
                  <c:v>1680000000</c:v>
                </c:pt>
                <c:pt idx="2">
                  <c:v>3600000000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4C-488E-A955-06F0B6F858FC}"/>
            </c:ext>
          </c:extLst>
        </c:ser>
        <c:ser>
          <c:idx val="1"/>
          <c:order val="1"/>
          <c:tx>
            <c:strRef>
              <c:f>'سناریوهای درآمدی'!$F$3</c:f>
              <c:strCache>
                <c:ptCount val="1"/>
                <c:pt idx="0">
                  <c:v>درآمد سال ۲ (تومان)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strRef>
              <c:f>'سناریوهای درآمدی'!$A$4:$A$6</c:f>
              <c:strCache>
                <c:ptCount val="3"/>
                <c:pt idx="0">
                  <c:v>بدبینانه</c:v>
                </c:pt>
                <c:pt idx="1">
                  <c:v>واقع‌بینانه</c:v>
                </c:pt>
                <c:pt idx="2">
                  <c:v>خوش‌بینانه</c:v>
                </c:pt>
              </c:strCache>
            </c:strRef>
          </c:cat>
          <c:val>
            <c:numRef>
              <c:f>'سناریوهای درآمدی'!$F$4:$F$6</c:f>
              <c:numCache>
                <c:formatCode>#,##0</c:formatCode>
                <c:ptCount val="3"/>
                <c:pt idx="0">
                  <c:v>1200000000</c:v>
                </c:pt>
                <c:pt idx="1">
                  <c:v>3600000000</c:v>
                </c:pt>
                <c:pt idx="2">
                  <c:v>7500000000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B4C-488E-A955-06F0B6F858FC}"/>
            </c:ext>
          </c:extLst>
        </c:ser>
        <c:ser>
          <c:idx val="2"/>
          <c:order val="2"/>
          <c:tx>
            <c:strRef>
              <c:f>'سناریوهای درآمدی'!$G$3</c:f>
              <c:strCache>
                <c:ptCount val="1"/>
                <c:pt idx="0">
                  <c:v>درآمد سال ۳ (تومان)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'سناریوهای درآمدی'!$A$4:$A$6</c:f>
              <c:strCache>
                <c:ptCount val="3"/>
                <c:pt idx="0">
                  <c:v>بدبینانه</c:v>
                </c:pt>
                <c:pt idx="1">
                  <c:v>واقع‌بینانه</c:v>
                </c:pt>
                <c:pt idx="2">
                  <c:v>خوش‌بینانه</c:v>
                </c:pt>
              </c:strCache>
            </c:strRef>
          </c:cat>
          <c:val>
            <c:numRef>
              <c:f>'سناریوهای درآمدی'!$G$4:$G$6</c:f>
              <c:numCache>
                <c:formatCode>#,##0</c:formatCode>
                <c:ptCount val="3"/>
                <c:pt idx="0">
                  <c:v>2400000000</c:v>
                </c:pt>
                <c:pt idx="1">
                  <c:v>7200000000</c:v>
                </c:pt>
                <c:pt idx="2">
                  <c:v>15000000000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B4C-488E-A955-06F0B6F85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سناریو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درآمد (تومان)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جریان نقدی ۱۲ ماهه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'جریان نقدی ماهانه'!$C$3</c:f>
              <c:strCache>
                <c:ptCount val="1"/>
                <c:pt idx="0">
                  <c:v>درآمد</c:v>
                </c:pt>
              </c:strCache>
            </c:strRef>
          </c:tx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'جریان نقدی ماهانه'!$A$4:$A$15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'جریان نقدی ماهانه'!$C$4:$C$15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55</c:v>
                </c:pt>
                <c:pt idx="3">
                  <c:v>70</c:v>
                </c:pt>
                <c:pt idx="4">
                  <c:v>120</c:v>
                </c:pt>
                <c:pt idx="5">
                  <c:v>145</c:v>
                </c:pt>
                <c:pt idx="6">
                  <c:v>220</c:v>
                </c:pt>
                <c:pt idx="7">
                  <c:v>300</c:v>
                </c:pt>
                <c:pt idx="8">
                  <c:v>390</c:v>
                </c:pt>
                <c:pt idx="9">
                  <c:v>500</c:v>
                </c:pt>
                <c:pt idx="10">
                  <c:v>620</c:v>
                </c:pt>
                <c:pt idx="11">
                  <c:v>760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40-4F8D-AE78-5A3FBE0891BF}"/>
            </c:ext>
          </c:extLst>
        </c:ser>
        <c:ser>
          <c:idx val="1"/>
          <c:order val="1"/>
          <c:tx>
            <c:strRef>
              <c:f>'جریان نقدی ماهانه'!$D$3</c:f>
              <c:strCache>
                <c:ptCount val="1"/>
                <c:pt idx="0">
                  <c:v>هزینه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'جریان نقدی ماهانه'!$A$4:$A$15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'جریان نقدی ماهانه'!$D$4:$D$15</c:f>
              <c:numCache>
                <c:formatCode>General</c:formatCode>
                <c:ptCount val="12"/>
                <c:pt idx="0">
                  <c:v>105</c:v>
                </c:pt>
                <c:pt idx="1">
                  <c:v>100</c:v>
                </c:pt>
                <c:pt idx="2">
                  <c:v>105</c:v>
                </c:pt>
                <c:pt idx="3">
                  <c:v>115</c:v>
                </c:pt>
                <c:pt idx="4">
                  <c:v>125</c:v>
                </c:pt>
                <c:pt idx="5">
                  <c:v>135</c:v>
                </c:pt>
                <c:pt idx="6">
                  <c:v>150</c:v>
                </c:pt>
                <c:pt idx="7">
                  <c:v>165</c:v>
                </c:pt>
                <c:pt idx="8">
                  <c:v>180</c:v>
                </c:pt>
                <c:pt idx="9">
                  <c:v>205</c:v>
                </c:pt>
                <c:pt idx="10">
                  <c:v>225</c:v>
                </c:pt>
                <c:pt idx="11">
                  <c:v>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40-4F8D-AE78-5A3FBE0891BF}"/>
            </c:ext>
          </c:extLst>
        </c:ser>
        <c:ser>
          <c:idx val="2"/>
          <c:order val="2"/>
          <c:tx>
            <c:strRef>
              <c:f>'جریان نقدی ماهانه'!$E$3</c:f>
              <c:strCache>
                <c:ptCount val="1"/>
                <c:pt idx="0">
                  <c:v>جریان نقدی</c:v>
                </c:pt>
              </c:strCache>
            </c:strRef>
          </c:tx>
          <c:spPr>
            <a:ln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numRef>
              <c:f>'جریان نقدی ماهانه'!$A$4:$A$15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'جریان نقدی ماهانه'!$E$4:$E$15</c:f>
              <c:numCache>
                <c:formatCode>General</c:formatCode>
                <c:ptCount val="12"/>
                <c:pt idx="0">
                  <c:v>-105</c:v>
                </c:pt>
                <c:pt idx="1">
                  <c:v>-100</c:v>
                </c:pt>
                <c:pt idx="2">
                  <c:v>-50</c:v>
                </c:pt>
                <c:pt idx="3">
                  <c:v>-45</c:v>
                </c:pt>
                <c:pt idx="4">
                  <c:v>-5</c:v>
                </c:pt>
                <c:pt idx="5">
                  <c:v>10</c:v>
                </c:pt>
                <c:pt idx="6">
                  <c:v>70</c:v>
                </c:pt>
                <c:pt idx="7">
                  <c:v>135</c:v>
                </c:pt>
                <c:pt idx="8">
                  <c:v>210</c:v>
                </c:pt>
                <c:pt idx="9">
                  <c:v>295</c:v>
                </c:pt>
                <c:pt idx="10">
                  <c:v>395</c:v>
                </c:pt>
                <c:pt idx="11">
                  <c:v>510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740-4F8D-AE78-5A3FBE0891BF}"/>
            </c:ext>
          </c:extLst>
        </c:ser>
        <c:ser>
          <c:idx val="3"/>
          <c:order val="3"/>
          <c:tx>
            <c:strRef>
              <c:f>'جریان نقدی ماهانه'!$F$3</c:f>
              <c:strCache>
                <c:ptCount val="1"/>
                <c:pt idx="0">
                  <c:v>جریان نقدی تجمعی</c:v>
                </c:pt>
              </c:strCache>
            </c:strRef>
          </c:tx>
          <c:spPr>
            <a:ln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numRef>
              <c:f>'جریان نقدی ماهانه'!$A$4:$A$15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'جریان نقدی ماهانه'!$F$4:$F$15</c:f>
              <c:numCache>
                <c:formatCode>General</c:formatCode>
                <c:ptCount val="12"/>
                <c:pt idx="0">
                  <c:v>-105</c:v>
                </c:pt>
                <c:pt idx="1">
                  <c:v>-205</c:v>
                </c:pt>
                <c:pt idx="2">
                  <c:v>-255</c:v>
                </c:pt>
                <c:pt idx="3">
                  <c:v>-300</c:v>
                </c:pt>
                <c:pt idx="4">
                  <c:v>-305</c:v>
                </c:pt>
                <c:pt idx="5">
                  <c:v>-295</c:v>
                </c:pt>
                <c:pt idx="6">
                  <c:v>-225</c:v>
                </c:pt>
                <c:pt idx="7">
                  <c:v>-90</c:v>
                </c:pt>
                <c:pt idx="8">
                  <c:v>120</c:v>
                </c:pt>
                <c:pt idx="9">
                  <c:v>415</c:v>
                </c:pt>
                <c:pt idx="10">
                  <c:v>810</c:v>
                </c:pt>
                <c:pt idx="11">
                  <c:v>1320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740-4F8D-AE78-5A3FBE089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ماه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400"/>
          <c:min val="-40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میلیون تومان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a-IR"/>
              <a:t>تخصیص سرمایه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'هزینه‌کرد سرمایه'!$B$3</c:f>
              <c:strCache>
                <c:ptCount val="1"/>
                <c:pt idx="0">
                  <c:v>سهم (%)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'هزینه‌کرد سرمایه'!$A$4:$A$8</c:f>
              <c:strCache>
                <c:ptCount val="5"/>
                <c:pt idx="0">
                  <c:v>توسعه محصول، API و بهینه‌سازی مدل</c:v>
                </c:pt>
                <c:pt idx="1">
                  <c:v>فروش B2B و بازاریابی هدفمند</c:v>
                </c:pt>
                <c:pt idx="2">
                  <c:v>نیروی انسانی فنی و محصول</c:v>
                </c:pt>
                <c:pt idx="3">
                  <c:v>سرور، امنیت و زیرساخت</c:v>
                </c:pt>
                <c:pt idx="4">
                  <c:v>ثبت شرکت، حقوقی و عملیات</c:v>
                </c:pt>
              </c:strCache>
            </c:strRef>
          </c:cat>
          <c:val>
            <c:numRef>
              <c:f>'هزینه‌کرد سرمایه'!$B$4:$B$8</c:f>
              <c:numCache>
                <c:formatCode>0"%"</c:formatCode>
                <c:ptCount val="5"/>
                <c:pt idx="0">
                  <c:v>30</c:v>
                </c:pt>
                <c:pt idx="1">
                  <c:v>25</c:v>
                </c:pt>
                <c:pt idx="2">
                  <c:v>25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B-4E97-BC4F-1C752CB52A8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rightToLeft="1" workbookViewId="0"/>
  </sheetViews>
  <sheetFormatPr defaultRowHeight="14.4"/>
  <cols>
    <col min="1" max="1" width="30" customWidth="1"/>
    <col min="2" max="2" width="35" customWidth="1"/>
  </cols>
  <sheetData>
    <row r="1" spans="1:2" ht="17.399999999999999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4" t="s">
        <v>4</v>
      </c>
    </row>
    <row r="5" spans="1:2">
      <c r="A5" s="3" t="s">
        <v>5</v>
      </c>
      <c r="B5" s="4" t="s">
        <v>6</v>
      </c>
    </row>
    <row r="6" spans="1:2">
      <c r="A6" s="3" t="s">
        <v>7</v>
      </c>
      <c r="B6" s="4" t="s">
        <v>8</v>
      </c>
    </row>
    <row r="7" spans="1:2">
      <c r="A7" s="3" t="s">
        <v>9</v>
      </c>
      <c r="B7" s="4" t="s">
        <v>10</v>
      </c>
    </row>
    <row r="8" spans="1:2">
      <c r="A8" s="3" t="s">
        <v>11</v>
      </c>
      <c r="B8" s="4" t="s">
        <v>12</v>
      </c>
    </row>
    <row r="9" spans="1:2">
      <c r="A9" s="3" t="s">
        <v>13</v>
      </c>
      <c r="B9" s="4" t="s">
        <v>14</v>
      </c>
    </row>
    <row r="10" spans="1:2">
      <c r="A10" s="3" t="s">
        <v>15</v>
      </c>
      <c r="B10" s="4" t="s">
        <v>16</v>
      </c>
    </row>
    <row r="11" spans="1:2">
      <c r="A11" s="3" t="s">
        <v>17</v>
      </c>
      <c r="B11" s="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rightToLeft="1" workbookViewId="0"/>
  </sheetViews>
  <sheetFormatPr defaultRowHeight="14.4"/>
  <cols>
    <col min="1" max="1" width="28" customWidth="1"/>
    <col min="2" max="2" width="15" customWidth="1"/>
    <col min="3" max="4" width="14" customWidth="1"/>
    <col min="5" max="7" width="22" customWidth="1"/>
    <col min="8" max="8" width="13" customWidth="1"/>
  </cols>
  <sheetData>
    <row r="1" spans="1:8" ht="17.399999999999999">
      <c r="A1" s="1" t="s">
        <v>19</v>
      </c>
    </row>
    <row r="3" spans="1:8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</row>
    <row r="4" spans="1:8">
      <c r="A4" s="6" t="s">
        <v>28</v>
      </c>
      <c r="B4" s="7">
        <v>3</v>
      </c>
      <c r="C4" s="7">
        <v>8</v>
      </c>
      <c r="D4" s="7">
        <v>15</v>
      </c>
      <c r="E4" s="8">
        <v>540000000</v>
      </c>
      <c r="F4" s="8">
        <v>1200000000</v>
      </c>
      <c r="G4" s="8">
        <v>2400000000</v>
      </c>
      <c r="H4" s="7">
        <v>0.5</v>
      </c>
    </row>
    <row r="5" spans="1:8">
      <c r="A5" s="9" t="s">
        <v>29</v>
      </c>
      <c r="B5" s="10">
        <v>8</v>
      </c>
      <c r="C5" s="10">
        <v>20</v>
      </c>
      <c r="D5" s="10">
        <v>40</v>
      </c>
      <c r="E5" s="11">
        <v>1680000000</v>
      </c>
      <c r="F5" s="11">
        <v>3600000000</v>
      </c>
      <c r="G5" s="11">
        <v>7200000000</v>
      </c>
      <c r="H5" s="10">
        <v>0.3</v>
      </c>
    </row>
    <row r="6" spans="1:8">
      <c r="A6" s="12" t="s">
        <v>30</v>
      </c>
      <c r="B6" s="7">
        <v>15</v>
      </c>
      <c r="C6" s="7">
        <v>40</v>
      </c>
      <c r="D6" s="7">
        <v>80</v>
      </c>
      <c r="E6" s="8">
        <v>3600000000</v>
      </c>
      <c r="F6" s="8">
        <v>7500000000</v>
      </c>
      <c r="G6" s="8">
        <v>15000000000</v>
      </c>
      <c r="H6" s="7">
        <v>0.2</v>
      </c>
    </row>
    <row r="8" spans="1:8">
      <c r="A8" s="13" t="s">
        <v>31</v>
      </c>
      <c r="B8" s="14">
        <v>1494000000</v>
      </c>
    </row>
    <row r="9" spans="1:8">
      <c r="A9" s="13" t="s">
        <v>32</v>
      </c>
      <c r="B9" s="14">
        <v>6360000000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rightToLeft="1" workbookViewId="0"/>
  </sheetViews>
  <sheetFormatPr defaultRowHeight="14.4"/>
  <cols>
    <col min="1" max="1" width="38" customWidth="1"/>
    <col min="2" max="5" width="13" customWidth="1"/>
    <col min="6" max="6" width="19" customWidth="1"/>
  </cols>
  <sheetData>
    <row r="1" spans="1:6" ht="17.399999999999999">
      <c r="A1" s="1" t="s">
        <v>33</v>
      </c>
    </row>
    <row r="3" spans="1:6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</row>
    <row r="4" spans="1:6">
      <c r="A4" s="7">
        <v>1</v>
      </c>
      <c r="B4" s="7">
        <v>0</v>
      </c>
      <c r="C4" s="7">
        <v>0</v>
      </c>
      <c r="D4" s="7">
        <v>105</v>
      </c>
      <c r="E4" s="15">
        <v>-105</v>
      </c>
      <c r="F4" s="15">
        <v>-105</v>
      </c>
    </row>
    <row r="5" spans="1:6">
      <c r="A5" s="10">
        <v>2</v>
      </c>
      <c r="B5" s="10">
        <v>0</v>
      </c>
      <c r="C5" s="10">
        <v>0</v>
      </c>
      <c r="D5" s="10">
        <v>100</v>
      </c>
      <c r="E5" s="16">
        <v>-100</v>
      </c>
      <c r="F5" s="16">
        <v>-205</v>
      </c>
    </row>
    <row r="6" spans="1:6">
      <c r="A6" s="7">
        <v>3</v>
      </c>
      <c r="B6" s="7">
        <v>1</v>
      </c>
      <c r="C6" s="7">
        <v>55</v>
      </c>
      <c r="D6" s="7">
        <v>105</v>
      </c>
      <c r="E6" s="15">
        <v>-50</v>
      </c>
      <c r="F6" s="15">
        <v>-255</v>
      </c>
    </row>
    <row r="7" spans="1:6">
      <c r="A7" s="10">
        <v>4</v>
      </c>
      <c r="B7" s="10">
        <v>1</v>
      </c>
      <c r="C7" s="10">
        <v>70</v>
      </c>
      <c r="D7" s="10">
        <v>115</v>
      </c>
      <c r="E7" s="16">
        <v>-45</v>
      </c>
      <c r="F7" s="16">
        <v>-300</v>
      </c>
    </row>
    <row r="8" spans="1:6">
      <c r="A8" s="7">
        <v>5</v>
      </c>
      <c r="B8" s="7">
        <v>2</v>
      </c>
      <c r="C8" s="7">
        <v>120</v>
      </c>
      <c r="D8" s="7">
        <v>125</v>
      </c>
      <c r="E8" s="15">
        <v>-5</v>
      </c>
      <c r="F8" s="15">
        <v>-305</v>
      </c>
    </row>
    <row r="9" spans="1:6">
      <c r="A9" s="10">
        <v>6</v>
      </c>
      <c r="B9" s="10">
        <v>2</v>
      </c>
      <c r="C9" s="10">
        <v>145</v>
      </c>
      <c r="D9" s="10">
        <v>135</v>
      </c>
      <c r="E9" s="10">
        <v>10</v>
      </c>
      <c r="F9" s="16">
        <v>-295</v>
      </c>
    </row>
    <row r="10" spans="1:6">
      <c r="A10" s="7">
        <v>7</v>
      </c>
      <c r="B10" s="7">
        <v>3</v>
      </c>
      <c r="C10" s="7">
        <v>220</v>
      </c>
      <c r="D10" s="7">
        <v>150</v>
      </c>
      <c r="E10" s="7">
        <v>70</v>
      </c>
      <c r="F10" s="15">
        <v>-225</v>
      </c>
    </row>
    <row r="11" spans="1:6">
      <c r="A11" s="10">
        <v>8</v>
      </c>
      <c r="B11" s="10">
        <v>4</v>
      </c>
      <c r="C11" s="10">
        <v>300</v>
      </c>
      <c r="D11" s="10">
        <v>165</v>
      </c>
      <c r="E11" s="10">
        <v>135</v>
      </c>
      <c r="F11" s="16">
        <v>-90</v>
      </c>
    </row>
    <row r="12" spans="1:6">
      <c r="A12" s="7">
        <v>9</v>
      </c>
      <c r="B12" s="7">
        <v>5</v>
      </c>
      <c r="C12" s="7">
        <v>390</v>
      </c>
      <c r="D12" s="7">
        <v>180</v>
      </c>
      <c r="E12" s="7">
        <v>210</v>
      </c>
      <c r="F12" s="17">
        <v>120</v>
      </c>
    </row>
    <row r="13" spans="1:6">
      <c r="A13" s="10">
        <v>10</v>
      </c>
      <c r="B13" s="10">
        <v>6</v>
      </c>
      <c r="C13" s="10">
        <v>500</v>
      </c>
      <c r="D13" s="10">
        <v>205</v>
      </c>
      <c r="E13" s="10">
        <v>295</v>
      </c>
      <c r="F13" s="18">
        <v>415</v>
      </c>
    </row>
    <row r="14" spans="1:6">
      <c r="A14" s="7">
        <v>11</v>
      </c>
      <c r="B14" s="7">
        <v>7</v>
      </c>
      <c r="C14" s="7">
        <v>620</v>
      </c>
      <c r="D14" s="7">
        <v>225</v>
      </c>
      <c r="E14" s="7">
        <v>395</v>
      </c>
      <c r="F14" s="17">
        <v>810</v>
      </c>
    </row>
    <row r="15" spans="1:6">
      <c r="A15" s="10">
        <v>12</v>
      </c>
      <c r="B15" s="10">
        <v>8</v>
      </c>
      <c r="C15" s="10">
        <v>760</v>
      </c>
      <c r="D15" s="10">
        <v>250</v>
      </c>
      <c r="E15" s="10">
        <v>510</v>
      </c>
      <c r="F15" s="18">
        <v>1320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rightToLeft="1" tabSelected="1" workbookViewId="0">
      <selection activeCell="G18" sqref="G18"/>
    </sheetView>
  </sheetViews>
  <sheetFormatPr defaultRowHeight="14.4"/>
  <cols>
    <col min="1" max="1" width="36" customWidth="1"/>
    <col min="2" max="2" width="13" customWidth="1"/>
    <col min="3" max="3" width="15" customWidth="1"/>
    <col min="4" max="4" width="48" customWidth="1"/>
  </cols>
  <sheetData>
    <row r="1" spans="1:4" ht="17.399999999999999">
      <c r="A1" s="1" t="s">
        <v>40</v>
      </c>
    </row>
    <row r="3" spans="1:4">
      <c r="A3" s="5" t="s">
        <v>41</v>
      </c>
      <c r="B3" s="5" t="s">
        <v>42</v>
      </c>
      <c r="C3" s="5" t="s">
        <v>43</v>
      </c>
      <c r="D3" s="5" t="s">
        <v>44</v>
      </c>
    </row>
    <row r="4" spans="1:4">
      <c r="A4" s="3" t="s">
        <v>45</v>
      </c>
      <c r="B4" s="19">
        <v>30</v>
      </c>
      <c r="C4" s="8">
        <v>450000000</v>
      </c>
      <c r="D4" s="4" t="s">
        <v>46</v>
      </c>
    </row>
    <row r="5" spans="1:4">
      <c r="A5" s="20" t="s">
        <v>47</v>
      </c>
      <c r="B5" s="21">
        <v>25</v>
      </c>
      <c r="C5" s="11">
        <v>375000000</v>
      </c>
      <c r="D5" s="22" t="s">
        <v>48</v>
      </c>
    </row>
    <row r="6" spans="1:4">
      <c r="A6" s="3" t="s">
        <v>49</v>
      </c>
      <c r="B6" s="19">
        <v>25</v>
      </c>
      <c r="C6" s="8">
        <v>375000000</v>
      </c>
      <c r="D6" s="4" t="s">
        <v>50</v>
      </c>
    </row>
    <row r="7" spans="1:4">
      <c r="A7" s="20" t="s">
        <v>51</v>
      </c>
      <c r="B7" s="21">
        <v>10</v>
      </c>
      <c r="C7" s="11">
        <v>150000000</v>
      </c>
      <c r="D7" s="22" t="s">
        <v>52</v>
      </c>
    </row>
    <row r="8" spans="1:4">
      <c r="A8" s="3" t="s">
        <v>53</v>
      </c>
      <c r="B8" s="19">
        <v>10</v>
      </c>
      <c r="C8" s="8">
        <v>150000000</v>
      </c>
      <c r="D8" s="4" t="s">
        <v>54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خلاصه</vt:lpstr>
      <vt:lpstr>سناریوهای درآمدی</vt:lpstr>
      <vt:lpstr>جریان نقدی ماهانه</vt:lpstr>
      <vt:lpstr>هزینه‌کرد سرمایه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melo rafiei</cp:lastModifiedBy>
  <dcterms:created xsi:type="dcterms:W3CDTF">2026-07-02T14:49:48Z</dcterms:created>
  <dcterms:modified xsi:type="dcterms:W3CDTF">2026-07-04T14:30:26Z</dcterms:modified>
</cp:coreProperties>
</file>