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" sheetId="1" state="visible" r:id="rId1"/>
    <sheet xmlns:r="http://schemas.openxmlformats.org/officeDocument/2006/relationships" name="سناریوهای درآمدی" sheetId="2" state="visible" r:id="rId2"/>
    <sheet xmlns:r="http://schemas.openxmlformats.org/officeDocument/2006/relationships" name="جریان نقدی ماهانه" sheetId="3" state="visible" r:id="rId3"/>
    <sheet xmlns:r="http://schemas.openxmlformats.org/officeDocument/2006/relationships" name="هزینه‌کرد سرمایه" sheetId="4" state="visible" r:id="rId4"/>
    <sheet xmlns:r="http://schemas.openxmlformats.org/officeDocument/2006/relationships" name="شاخص ریسک" sheetId="5" state="visible" r:id="rId5"/>
    <sheet xmlns:r="http://schemas.openxmlformats.org/officeDocument/2006/relationships" name="کارت امتیاز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3">
    <font>
      <name val="Calibri"/>
      <family val="2"/>
      <color theme="1"/>
      <sz val="11"/>
      <scheme val="minor"/>
    </font>
    <font>
      <name val="B Nazanin"/>
      <b val="1"/>
      <color rgb="001F3864"/>
      <sz val="14"/>
    </font>
    <font>
      <name val="B Nazanin"/>
      <b val="1"/>
      <sz val="10"/>
    </font>
    <font>
      <name val="B Nazanin"/>
      <sz val="10"/>
    </font>
    <font>
      <name val="B Nazanin"/>
      <b val="1"/>
      <color rgb="00FFFFFF"/>
      <sz val="11"/>
    </font>
    <font>
      <name val="Calibri"/>
      <sz val="10"/>
    </font>
    <font>
      <name val="B Nazanin"/>
      <b val="1"/>
      <color rgb="00FFFFFF"/>
      <sz val="10"/>
    </font>
    <font>
      <name val="Calibri"/>
      <b val="1"/>
      <sz val="10"/>
    </font>
    <font>
      <name val="Calibri"/>
      <b val="1"/>
      <color rgb="00C00000"/>
      <sz val="10"/>
    </font>
    <font>
      <name val="Calibri"/>
      <b val="1"/>
      <color rgb="0070AD47"/>
      <sz val="10"/>
    </font>
    <font>
      <name val="Calibri"/>
      <color rgb="004472C4"/>
      <sz val="10"/>
    </font>
    <font>
      <name val="Calibri"/>
      <color rgb="00808080"/>
      <sz val="10"/>
    </font>
    <font>
      <name val="Calibri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BDD7EE"/>
        <bgColor rgb="00BDD7EE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7" fillId="0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right" vertical="center" wrapText="1"/>
    </xf>
    <xf numFmtId="164" fontId="7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0" fontId="11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7" fillId="6" borderId="1" pivotButton="0" quotePrefix="0" xfId="0"/>
    <xf numFmtId="165" fontId="9" fillId="0" borderId="1" applyAlignment="1" pivotButton="0" quotePrefix="0" xfId="0">
      <alignment horizontal="center" vertical="center" wrapText="1"/>
    </xf>
    <xf numFmtId="165" fontId="10" fillId="4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165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مقایسه درآمد در سناریوهای مختلف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'سناریوهای درآمدی'!E3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'سناریوهای درآمدی'!$A$4:$A$6</f>
            </numRef>
          </cat>
          <val>
            <numRef>
              <f>'سناریوهای درآمدی'!$E$4:$E$6</f>
            </numRef>
          </val>
        </ser>
        <ser>
          <idx val="1"/>
          <order val="1"/>
          <tx>
            <strRef>
              <f>'سناریوهای درآمدی'!F3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'سناریوهای درآمدی'!$A$4:$A$6</f>
            </numRef>
          </cat>
          <val>
            <numRef>
              <f>'سناریوهای درآمدی'!$F$4:$F$6</f>
            </numRef>
          </val>
        </ser>
        <ser>
          <idx val="2"/>
          <order val="2"/>
          <tx>
            <strRef>
              <f>'سناریوهای درآمدی'!G3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'سناریوهای درآمدی'!$A$4:$A$6</f>
            </numRef>
          </cat>
          <val>
            <numRef>
              <f>'سناریوهای درآمدی'!$G$4:$G$6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سناریو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درآمد (تومان)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جریان نقدی ۱۲ ماهه</a:t>
            </a:r>
          </a:p>
        </rich>
      </tx>
    </title>
    <plotArea>
      <lineChart>
        <grouping val="standard"/>
        <ser>
          <idx val="0"/>
          <order val="0"/>
          <tx>
            <strRef>
              <f>'جریان نقدی ماهانه'!C3</f>
            </strRef>
          </tx>
          <spPr>
            <a:ln xmlns:a="http://schemas.openxmlformats.org/drawingml/2006/main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'جریان نقدی ماهانه'!$A$4:$A$15</f>
            </numRef>
          </cat>
          <val>
            <numRef>
              <f>'جریان نقدی ماهانه'!$C$4:$C$15</f>
            </numRef>
          </val>
        </ser>
        <ser>
          <idx val="1"/>
          <order val="1"/>
          <tx>
            <strRef>
              <f>'جریان نقدی ماهانه'!D3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'جریان نقدی ماهانه'!$A$4:$A$15</f>
            </numRef>
          </cat>
          <val>
            <numRef>
              <f>'جریان نقدی ماهانه'!$D$4:$D$15</f>
            </numRef>
          </val>
        </ser>
        <ser>
          <idx val="2"/>
          <order val="2"/>
          <tx>
            <strRef>
              <f>'جریان نقدی ماهانه'!E3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'جریان نقدی ماهانه'!$A$4:$A$15</f>
            </numRef>
          </cat>
          <val>
            <numRef>
              <f>'جریان نقدی ماهانه'!$E$4:$E$15</f>
            </numRef>
          </val>
        </ser>
        <ser>
          <idx val="3"/>
          <order val="3"/>
          <tx>
            <strRef>
              <f>'جریان نقدی ماهانه'!F3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'جریان نقدی ماهانه'!$A$4:$A$15</f>
            </numRef>
          </cat>
          <val>
            <numRef>
              <f>'جریان نقدی ماهانه'!$F$4:$F$15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ماه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0"/>
          <min val="-4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میلیون تومان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تخصیص سرمایه</a:t>
            </a:r>
          </a:p>
        </rich>
      </tx>
    </title>
    <plotArea>
      <pieChart>
        <varyColors val="1"/>
        <ser>
          <idx val="0"/>
          <order val="0"/>
          <tx>
            <strRef>
              <f>'هزینه‌کرد سرمایه'!B3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'هزینه‌کرد سرمایه'!$A$4:$A$8</f>
            </numRef>
          </cat>
          <val>
            <numRef>
              <f>'هزینه‌کرد سرمایه'!$B$4:$B$8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امتیاز وزنی شاخص‌های ریسک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'شاخص ریسک'!D3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'شاخص ریسک'!$A$4:$A$11</f>
            </numRef>
          </cat>
          <val>
            <numRef>
              <f>'شاخص ریسک'!$D$4:$D$12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امتیاز وزنی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درصد امتیاز کسب شده در هر آیتم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'کارت امتیازی'!E3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'کارت امتیازی'!$A$4:$A$17</f>
            </numRef>
          </cat>
          <val>
            <numRef>
              <f>'کارت امتیازی'!$E$4:$E$17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5" customWidth="1" min="2" max="2"/>
  </cols>
  <sheetData>
    <row r="1">
      <c r="A1" s="1" t="inlineStr">
        <is>
          <t>گزارش مالی و سرمایه‌گذاری آریونکس (ArioNex)</t>
        </is>
      </c>
    </row>
    <row r="3">
      <c r="A3" s="2" t="inlineStr">
        <is>
          <t>شاخص</t>
        </is>
      </c>
      <c r="B3" s="2" t="inlineStr">
        <is>
          <t>مقدار</t>
        </is>
      </c>
    </row>
    <row r="4">
      <c r="A4" s="3" t="inlineStr">
        <is>
          <t>سرمایه پیشنهادی</t>
        </is>
      </c>
      <c r="B4" s="4" t="inlineStr">
        <is>
          <t>۱.۵ میلیارد تومان</t>
        </is>
      </c>
    </row>
    <row r="5">
      <c r="A5" s="3" t="inlineStr">
        <is>
          <t>ارزش‌گذاری پیشنهادی</t>
        </is>
      </c>
      <c r="B5" s="4" t="inlineStr">
        <is>
          <t>۴.۵ - ۶ میلیارد تومان</t>
        </is>
      </c>
    </row>
    <row r="6">
      <c r="A6" s="3" t="inlineStr">
        <is>
          <t>درآمد فعلی</t>
        </is>
      </c>
      <c r="B6" s="4" t="inlineStr">
        <is>
          <t>صفر (مرحله پیش از درآمد)</t>
        </is>
      </c>
    </row>
    <row r="7">
      <c r="A7" s="3" t="inlineStr">
        <is>
          <t>هدف درآمد سال اول (واقع‌بینانه)</t>
        </is>
      </c>
      <c r="B7" s="4" t="inlineStr">
        <is>
          <t>۱.۶۸ میلیارد تومان</t>
        </is>
      </c>
    </row>
    <row r="8">
      <c r="A8" s="3" t="inlineStr">
        <is>
          <t>نقطه سربه‌سر</t>
        </is>
      </c>
      <c r="B8" s="4" t="inlineStr">
        <is>
          <t>ماه ۶-۷</t>
        </is>
      </c>
    </row>
    <row r="9">
      <c r="A9" s="3" t="inlineStr">
        <is>
          <t>تعداد مشتری هدف سال اول</t>
        </is>
      </c>
      <c r="B9" s="4" t="inlineStr">
        <is>
          <t>۸ مشتری سازمانی</t>
        </is>
      </c>
    </row>
    <row r="10">
      <c r="A10" s="3" t="inlineStr">
        <is>
          <t>هزینه ماهانه متوسط</t>
        </is>
      </c>
      <c r="B10" s="4" t="inlineStr">
        <is>
          <t>۱۰۰ - ۲۵۰ میلیون تومان</t>
        </is>
      </c>
    </row>
    <row r="11">
      <c r="A11" s="3" t="inlineStr">
        <is>
          <t>مدت Runway</t>
        </is>
      </c>
      <c r="B11" s="4" t="inlineStr">
        <is>
          <t>۱۲ ماه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4" customWidth="1" min="4" max="4"/>
    <col width="22" customWidth="1" min="5" max="5"/>
    <col width="22" customWidth="1" min="6" max="6"/>
    <col width="22" customWidth="1" min="7" max="7"/>
    <col width="13" customWidth="1" min="8" max="8"/>
  </cols>
  <sheetData>
    <row r="1">
      <c r="A1" s="1" t="inlineStr">
        <is>
          <t>سناریوهای درآمدی ۳ ساله</t>
        </is>
      </c>
    </row>
    <row r="2"/>
    <row r="3">
      <c r="A3" s="5" t="inlineStr">
        <is>
          <t>سناریو</t>
        </is>
      </c>
      <c r="B3" s="5" t="inlineStr">
        <is>
          <t>مشتری سال ۱</t>
        </is>
      </c>
      <c r="C3" s="5" t="inlineStr">
        <is>
          <t>مشتری سال ۲</t>
        </is>
      </c>
      <c r="D3" s="5" t="inlineStr">
        <is>
          <t>مشتری سال ۳</t>
        </is>
      </c>
      <c r="E3" s="5" t="inlineStr">
        <is>
          <t>درآمد سال ۱ (تومان)</t>
        </is>
      </c>
      <c r="F3" s="5" t="inlineStr">
        <is>
          <t>درآمد سال ۲ (تومان)</t>
        </is>
      </c>
      <c r="G3" s="5" t="inlineStr">
        <is>
          <t>درآمد سال ۳ (تومان)</t>
        </is>
      </c>
      <c r="H3" s="5" t="inlineStr">
        <is>
          <t>احتمال</t>
        </is>
      </c>
    </row>
    <row r="4">
      <c r="A4" s="6" t="inlineStr">
        <is>
          <t>بدبینانه</t>
        </is>
      </c>
      <c r="B4" s="7" t="n">
        <v>3</v>
      </c>
      <c r="C4" s="7" t="n">
        <v>8</v>
      </c>
      <c r="D4" s="7" t="n">
        <v>15</v>
      </c>
      <c r="E4" s="8" t="n">
        <v>540000000</v>
      </c>
      <c r="F4" s="8" t="n">
        <v>1200000000</v>
      </c>
      <c r="G4" s="8" t="n">
        <v>2400000000</v>
      </c>
      <c r="H4" s="7" t="n">
        <v>0.5</v>
      </c>
    </row>
    <row r="5">
      <c r="A5" s="9" t="inlineStr">
        <is>
          <t>واقع‌بینانه</t>
        </is>
      </c>
      <c r="B5" s="10" t="n">
        <v>8</v>
      </c>
      <c r="C5" s="10" t="n">
        <v>20</v>
      </c>
      <c r="D5" s="10" t="n">
        <v>40</v>
      </c>
      <c r="E5" s="11" t="n">
        <v>1680000000</v>
      </c>
      <c r="F5" s="11" t="n">
        <v>3600000000</v>
      </c>
      <c r="G5" s="11" t="n">
        <v>7200000000</v>
      </c>
      <c r="H5" s="10" t="n">
        <v>0.3</v>
      </c>
    </row>
    <row r="6">
      <c r="A6" s="12" t="inlineStr">
        <is>
          <t>خوش‌بینانه</t>
        </is>
      </c>
      <c r="B6" s="7" t="n">
        <v>15</v>
      </c>
      <c r="C6" s="7" t="n">
        <v>40</v>
      </c>
      <c r="D6" s="7" t="n">
        <v>80</v>
      </c>
      <c r="E6" s="8" t="n">
        <v>3600000000</v>
      </c>
      <c r="F6" s="8" t="n">
        <v>7500000000</v>
      </c>
      <c r="G6" s="8" t="n">
        <v>15000000000</v>
      </c>
      <c r="H6" s="7" t="n">
        <v>0.2</v>
      </c>
    </row>
    <row r="7"/>
    <row r="8">
      <c r="A8" s="13" t="inlineStr">
        <is>
          <t>میانگین وزنی درآمد سال ۱:</t>
        </is>
      </c>
      <c r="B8" s="14" t="n">
        <v>1494000000</v>
      </c>
    </row>
    <row r="9">
      <c r="A9" s="13" t="inlineStr">
        <is>
          <t>میانگین وزنی درآمد سال ۳:</t>
        </is>
      </c>
      <c r="B9" s="14" t="n">
        <v>6360000000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9" customWidth="1" min="6" max="6"/>
  </cols>
  <sheetData>
    <row r="1">
      <c r="A1" s="1" t="inlineStr">
        <is>
          <t>جریان نقدی ۱۲ ماهه - سناریوی واقع‌بینانه (میلیون تومان)</t>
        </is>
      </c>
    </row>
    <row r="2"/>
    <row r="3">
      <c r="A3" s="5" t="inlineStr">
        <is>
          <t>ماه</t>
        </is>
      </c>
      <c r="B3" s="5" t="inlineStr">
        <is>
          <t>مشتری فعال</t>
        </is>
      </c>
      <c r="C3" s="5" t="inlineStr">
        <is>
          <t>درآمد</t>
        </is>
      </c>
      <c r="D3" s="5" t="inlineStr">
        <is>
          <t>هزینه</t>
        </is>
      </c>
      <c r="E3" s="5" t="inlineStr">
        <is>
          <t>جریان نقدی</t>
        </is>
      </c>
      <c r="F3" s="5" t="inlineStr">
        <is>
          <t>جریان نقدی تجمعی</t>
        </is>
      </c>
    </row>
    <row r="4">
      <c r="A4" s="7" t="n">
        <v>1</v>
      </c>
      <c r="B4" s="7" t="n">
        <v>0</v>
      </c>
      <c r="C4" s="7" t="n">
        <v>0</v>
      </c>
      <c r="D4" s="7" t="n">
        <v>105</v>
      </c>
      <c r="E4" s="15" t="n">
        <v>-105</v>
      </c>
      <c r="F4" s="15" t="n">
        <v>-105</v>
      </c>
    </row>
    <row r="5">
      <c r="A5" s="10" t="n">
        <v>2</v>
      </c>
      <c r="B5" s="10" t="n">
        <v>0</v>
      </c>
      <c r="C5" s="10" t="n">
        <v>0</v>
      </c>
      <c r="D5" s="10" t="n">
        <v>100</v>
      </c>
      <c r="E5" s="16" t="n">
        <v>-100</v>
      </c>
      <c r="F5" s="16" t="n">
        <v>-205</v>
      </c>
    </row>
    <row r="6">
      <c r="A6" s="7" t="n">
        <v>3</v>
      </c>
      <c r="B6" s="7" t="n">
        <v>1</v>
      </c>
      <c r="C6" s="7" t="n">
        <v>55</v>
      </c>
      <c r="D6" s="7" t="n">
        <v>105</v>
      </c>
      <c r="E6" s="15" t="n">
        <v>-50</v>
      </c>
      <c r="F6" s="15" t="n">
        <v>-255</v>
      </c>
    </row>
    <row r="7">
      <c r="A7" s="10" t="n">
        <v>4</v>
      </c>
      <c r="B7" s="10" t="n">
        <v>1</v>
      </c>
      <c r="C7" s="10" t="n">
        <v>70</v>
      </c>
      <c r="D7" s="10" t="n">
        <v>115</v>
      </c>
      <c r="E7" s="16" t="n">
        <v>-45</v>
      </c>
      <c r="F7" s="16" t="n">
        <v>-300</v>
      </c>
    </row>
    <row r="8">
      <c r="A8" s="7" t="n">
        <v>5</v>
      </c>
      <c r="B8" s="7" t="n">
        <v>2</v>
      </c>
      <c r="C8" s="7" t="n">
        <v>120</v>
      </c>
      <c r="D8" s="7" t="n">
        <v>125</v>
      </c>
      <c r="E8" s="15" t="n">
        <v>-5</v>
      </c>
      <c r="F8" s="15" t="n">
        <v>-305</v>
      </c>
    </row>
    <row r="9">
      <c r="A9" s="10" t="n">
        <v>6</v>
      </c>
      <c r="B9" s="10" t="n">
        <v>2</v>
      </c>
      <c r="C9" s="10" t="n">
        <v>145</v>
      </c>
      <c r="D9" s="10" t="n">
        <v>135</v>
      </c>
      <c r="E9" s="10" t="n">
        <v>10</v>
      </c>
      <c r="F9" s="16" t="n">
        <v>-295</v>
      </c>
    </row>
    <row r="10">
      <c r="A10" s="7" t="n">
        <v>7</v>
      </c>
      <c r="B10" s="7" t="n">
        <v>3</v>
      </c>
      <c r="C10" s="7" t="n">
        <v>220</v>
      </c>
      <c r="D10" s="7" t="n">
        <v>150</v>
      </c>
      <c r="E10" s="7" t="n">
        <v>70</v>
      </c>
      <c r="F10" s="15" t="n">
        <v>-225</v>
      </c>
    </row>
    <row r="11">
      <c r="A11" s="10" t="n">
        <v>8</v>
      </c>
      <c r="B11" s="10" t="n">
        <v>4</v>
      </c>
      <c r="C11" s="10" t="n">
        <v>300</v>
      </c>
      <c r="D11" s="10" t="n">
        <v>165</v>
      </c>
      <c r="E11" s="10" t="n">
        <v>135</v>
      </c>
      <c r="F11" s="16" t="n">
        <v>-90</v>
      </c>
    </row>
    <row r="12">
      <c r="A12" s="7" t="n">
        <v>9</v>
      </c>
      <c r="B12" s="7" t="n">
        <v>5</v>
      </c>
      <c r="C12" s="7" t="n">
        <v>390</v>
      </c>
      <c r="D12" s="7" t="n">
        <v>180</v>
      </c>
      <c r="E12" s="7" t="n">
        <v>210</v>
      </c>
      <c r="F12" s="17" t="n">
        <v>120</v>
      </c>
    </row>
    <row r="13">
      <c r="A13" s="10" t="n">
        <v>10</v>
      </c>
      <c r="B13" s="10" t="n">
        <v>6</v>
      </c>
      <c r="C13" s="10" t="n">
        <v>500</v>
      </c>
      <c r="D13" s="10" t="n">
        <v>205</v>
      </c>
      <c r="E13" s="10" t="n">
        <v>295</v>
      </c>
      <c r="F13" s="18" t="n">
        <v>415</v>
      </c>
    </row>
    <row r="14">
      <c r="A14" s="7" t="n">
        <v>11</v>
      </c>
      <c r="B14" s="7" t="n">
        <v>7</v>
      </c>
      <c r="C14" s="7" t="n">
        <v>620</v>
      </c>
      <c r="D14" s="7" t="n">
        <v>225</v>
      </c>
      <c r="E14" s="7" t="n">
        <v>395</v>
      </c>
      <c r="F14" s="17" t="n">
        <v>810</v>
      </c>
    </row>
    <row r="15">
      <c r="A15" s="10" t="n">
        <v>12</v>
      </c>
      <c r="B15" s="10" t="n">
        <v>8</v>
      </c>
      <c r="C15" s="10" t="n">
        <v>760</v>
      </c>
      <c r="D15" s="10" t="n">
        <v>250</v>
      </c>
      <c r="E15" s="10" t="n">
        <v>510</v>
      </c>
      <c r="F15" s="18" t="n">
        <v>1320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5" customWidth="1" min="3" max="3"/>
    <col width="48" customWidth="1" min="4" max="4"/>
  </cols>
  <sheetData>
    <row r="1">
      <c r="A1" s="1" t="inlineStr">
        <is>
          <t>تخصیص سرمایه ۱.۵ میلیارد تومانی</t>
        </is>
      </c>
    </row>
    <row r="2"/>
    <row r="3">
      <c r="A3" s="5" t="inlineStr">
        <is>
          <t>حوزه</t>
        </is>
      </c>
      <c r="B3" s="5" t="inlineStr">
        <is>
          <t>سهم (%)</t>
        </is>
      </c>
      <c r="C3" s="5" t="inlineStr">
        <is>
          <t>مبلغ (تومان)</t>
        </is>
      </c>
      <c r="D3" s="5" t="inlineStr">
        <is>
          <t>جزئیات</t>
        </is>
      </c>
    </row>
    <row r="4">
      <c r="A4" s="3" t="inlineStr">
        <is>
          <t>توسعه محصول، API و بهینه‌سازی مدل</t>
        </is>
      </c>
      <c r="B4" s="19" t="n">
        <v>30</v>
      </c>
      <c r="C4" s="8" t="n">
        <v>450000000</v>
      </c>
      <c r="D4" s="4" t="inlineStr">
        <is>
          <t>بهبود RAG، امنیت، کنترل مصرف، آماده‌سازی پایلوت</t>
        </is>
      </c>
    </row>
    <row r="5">
      <c r="A5" s="20" t="inlineStr">
        <is>
          <t>فروش B2B و بازاریابی هدفمند</t>
        </is>
      </c>
      <c r="B5" s="21" t="n">
        <v>25</v>
      </c>
      <c r="C5" s="11" t="n">
        <v>375000000</v>
      </c>
      <c r="D5" s="22" t="inlineStr">
        <is>
          <t>جلسات سازمانی، پایلوت، محتوا، دمو و همکاری کانالی</t>
        </is>
      </c>
    </row>
    <row r="6">
      <c r="A6" s="3" t="inlineStr">
        <is>
          <t>نیروی انسانی فنی و محصول</t>
        </is>
      </c>
      <c r="B6" s="19" t="n">
        <v>25</v>
      </c>
      <c r="C6" s="8" t="n">
        <v>375000000</v>
      </c>
      <c r="D6" s="4" t="inlineStr">
        <is>
          <t>بخشی از هزینه تیم برای توسعه پایدار و پشتیبانی پایلوت</t>
        </is>
      </c>
    </row>
    <row r="7">
      <c r="A7" s="20" t="inlineStr">
        <is>
          <t>سرور، امنیت و زیرساخت</t>
        </is>
      </c>
      <c r="B7" s="21" t="n">
        <v>10</v>
      </c>
      <c r="C7" s="11" t="n">
        <v>150000000</v>
      </c>
      <c r="D7" s="22" t="inlineStr">
        <is>
          <t>سرور تست، مانیتورینگ، ذخیره‌سازی امن و آماده‌سازی SLA</t>
        </is>
      </c>
    </row>
    <row r="8">
      <c r="A8" s="3" t="inlineStr">
        <is>
          <t>ثبت شرکت، حقوقی و عملیات</t>
        </is>
      </c>
      <c r="B8" s="19" t="n">
        <v>10</v>
      </c>
      <c r="C8" s="8" t="n">
        <v>150000000</v>
      </c>
      <c r="D8" s="4" t="inlineStr">
        <is>
          <t>ثبت شرکت، قرارداد محرمانگی، حریم خصوصی و امور اداری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3" customWidth="1" min="3" max="3"/>
    <col width="14" customWidth="1" min="4" max="4"/>
    <col width="53" customWidth="1" min="5" max="5"/>
  </cols>
  <sheetData>
    <row r="1">
      <c r="A1" s="1" t="inlineStr">
        <is>
          <t>روش شاخص ریسک (Risk Factor Method)</t>
        </is>
      </c>
    </row>
    <row r="2"/>
    <row r="3">
      <c r="A3" s="5" t="inlineStr">
        <is>
          <t>شاخص</t>
        </is>
      </c>
      <c r="B3" s="5" t="inlineStr">
        <is>
          <t>وزن (%)</t>
        </is>
      </c>
      <c r="C3" s="5" t="inlineStr">
        <is>
          <t>امتیاز</t>
        </is>
      </c>
      <c r="D3" s="5" t="inlineStr">
        <is>
          <t>امتیاز وزنی</t>
        </is>
      </c>
      <c r="E3" s="5" t="inlineStr">
        <is>
          <t>توضیح</t>
        </is>
      </c>
    </row>
    <row r="4">
      <c r="A4" s="23" t="inlineStr">
        <is>
          <t>تیم و مدیریت</t>
        </is>
      </c>
      <c r="B4" s="23" t="n">
        <v>20</v>
      </c>
      <c r="C4" s="24" t="n">
        <v>1</v>
      </c>
      <c r="D4" s="17" t="n">
        <v>20</v>
      </c>
      <c r="E4" s="25" t="inlineStr">
        <is>
          <t>تجربه نرم‌افزار، محصول AI و LLM فارسی؛ نیازمند تکمیل فروش B2B</t>
        </is>
      </c>
    </row>
    <row r="5">
      <c r="A5" s="26" t="inlineStr">
        <is>
          <t>مرحله کسب‌وکار</t>
        </is>
      </c>
      <c r="B5" s="26" t="n">
        <v>5</v>
      </c>
      <c r="C5" s="27" t="n">
        <v>1</v>
      </c>
      <c r="D5" s="18" t="n">
        <v>5</v>
      </c>
      <c r="E5" s="28" t="inlineStr">
        <is>
          <t>MVP و دمو موجود است، اما درآمد تجاری هنوز شروع نشده</t>
        </is>
      </c>
    </row>
    <row r="6">
      <c r="A6" s="23" t="inlineStr">
        <is>
          <t>قانون‌گذاری و مجوز</t>
        </is>
      </c>
      <c r="B6" s="23" t="n">
        <v>10</v>
      </c>
      <c r="C6" s="15" t="n">
        <v>-1</v>
      </c>
      <c r="D6" s="15" t="n">
        <v>-10</v>
      </c>
      <c r="E6" s="25" t="inlineStr">
        <is>
          <t>نیازمند قرارداد حقوقی، سیاست داده و مشاوره حریم خصوصی</t>
        </is>
      </c>
    </row>
    <row r="7">
      <c r="A7" s="26" t="inlineStr">
        <is>
          <t>بازاریابی و فروش</t>
        </is>
      </c>
      <c r="B7" s="26" t="n">
        <v>20</v>
      </c>
      <c r="C7" s="29" t="n">
        <v>0</v>
      </c>
      <c r="D7" s="29" t="n">
        <v>0</v>
      </c>
      <c r="E7" s="28" t="inlineStr">
        <is>
          <t>کانال مشخص اولیه همکاری با شرکت‌های نرم‌افزاری؛ نیازمند اجرای پایلوت</t>
        </is>
      </c>
    </row>
    <row r="8">
      <c r="A8" s="23" t="inlineStr">
        <is>
          <t>استراتژی رشد</t>
        </is>
      </c>
      <c r="B8" s="23" t="n">
        <v>10</v>
      </c>
      <c r="C8" s="24" t="n">
        <v>1</v>
      </c>
      <c r="D8" s="17" t="n">
        <v>10</v>
      </c>
      <c r="E8" s="25" t="inlineStr">
        <is>
          <t>مسیر پایلوت تا قرارداد و فروش کانالی تعریف شده</t>
        </is>
      </c>
    </row>
    <row r="9">
      <c r="A9" s="26" t="inlineStr">
        <is>
          <t>رقابت</t>
        </is>
      </c>
      <c r="B9" s="26" t="n">
        <v>25</v>
      </c>
      <c r="C9" s="27" t="n">
        <v>1</v>
      </c>
      <c r="D9" s="18" t="n">
        <v>25</v>
      </c>
      <c r="E9" s="28" t="inlineStr">
        <is>
          <t>رقبا وجود دارند اما تمایز امنیت، فارسی و Integration قابل دفاع است</t>
        </is>
      </c>
    </row>
    <row r="10">
      <c r="A10" s="23" t="inlineStr">
        <is>
          <t>محصول و تکنولوژی</t>
        </is>
      </c>
      <c r="B10" s="23" t="n">
        <v>5</v>
      </c>
      <c r="C10" s="17" t="n">
        <v>2</v>
      </c>
      <c r="D10" s="17" t="n">
        <v>10</v>
      </c>
      <c r="E10" s="25" t="inlineStr">
        <is>
          <t>قابلیت‌های فنی و تجربه Gemma 2 نقطه قوت است</t>
        </is>
      </c>
    </row>
    <row r="11">
      <c r="A11" s="26" t="inlineStr">
        <is>
          <t>جذب سرمایه</t>
        </is>
      </c>
      <c r="B11" s="26" t="n">
        <v>5</v>
      </c>
      <c r="C11" s="29" t="n">
        <v>0</v>
      </c>
      <c r="D11" s="29" t="n">
        <v>0</v>
      </c>
      <c r="E11" s="28" t="inlineStr">
        <is>
          <t>نیاز سرمایه روشن است؛ ارزش‌گذاری باید با اولین پایلوت‌ها تثبیت شود</t>
        </is>
      </c>
    </row>
    <row r="12">
      <c r="A12" s="30" t="inlineStr">
        <is>
          <t>مجموع</t>
        </is>
      </c>
      <c r="B12" s="31" t="n"/>
      <c r="C12" s="31" t="n"/>
      <c r="D12" s="32" t="n">
        <v>60</v>
      </c>
      <c r="E12" s="31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rightToLeft="1" workbookViewId="0">
      <selection activeCell="A1" sqref="A1"/>
    </sheetView>
  </sheetViews>
  <sheetFormatPr baseColWidth="8" defaultRowHeight="15"/>
  <cols>
    <col width="39" customWidth="1" min="1" max="1"/>
    <col width="13" customWidth="1" min="2" max="2"/>
    <col width="18" customWidth="1" min="3" max="3"/>
    <col width="16" customWidth="1" min="4" max="4"/>
    <col width="13" customWidth="1" min="5" max="5"/>
    <col width="48" customWidth="1" min="6" max="6"/>
  </cols>
  <sheetData>
    <row r="1">
      <c r="A1" s="1" t="inlineStr">
        <is>
          <t>روش کارت امتیازی (Score Card Method)</t>
        </is>
      </c>
    </row>
    <row r="2"/>
    <row r="3">
      <c r="A3" s="5" t="inlineStr">
        <is>
          <t>آیتم</t>
        </is>
      </c>
      <c r="B3" s="5" t="inlineStr">
        <is>
          <t>وزن (%)</t>
        </is>
      </c>
      <c r="C3" s="5" t="inlineStr">
        <is>
          <t>امتیاز پیشنهادی</t>
        </is>
      </c>
      <c r="D3" s="5" t="inlineStr">
        <is>
          <t>حداکثر امتیاز</t>
        </is>
      </c>
      <c r="E3" s="5" t="inlineStr">
        <is>
          <t>درصد</t>
        </is>
      </c>
      <c r="F3" s="5" t="inlineStr">
        <is>
          <t>کامنت</t>
        </is>
      </c>
    </row>
    <row r="4">
      <c r="A4" s="23" t="inlineStr">
        <is>
          <t>Founders</t>
        </is>
      </c>
      <c r="B4" s="23" t="n">
        <v>13</v>
      </c>
      <c r="C4" s="23" t="n">
        <v>10</v>
      </c>
      <c r="D4" s="23" t="n">
        <v>15</v>
      </c>
      <c r="E4" s="33" t="n">
        <v>66.7</v>
      </c>
      <c r="F4" s="25" t="inlineStr">
        <is>
          <t>تیم کوچک اما متمرکز بر AI و نرم‌افزار</t>
        </is>
      </c>
    </row>
    <row r="5">
      <c r="A5" s="26" t="inlineStr">
        <is>
          <t>Management</t>
        </is>
      </c>
      <c r="B5" s="26" t="n">
        <v>11</v>
      </c>
      <c r="C5" s="26" t="n">
        <v>7</v>
      </c>
      <c r="D5" s="26" t="n">
        <v>15</v>
      </c>
      <c r="E5" s="34" t="n">
        <v>46.7</v>
      </c>
      <c r="F5" s="28" t="inlineStr">
        <is>
          <t>نیازمند تکمیل تجربه فروش سازمانی</t>
        </is>
      </c>
    </row>
    <row r="6">
      <c r="A6" s="23" t="inlineStr">
        <is>
          <t>Technical HR</t>
        </is>
      </c>
      <c r="B6" s="23" t="n">
        <v>8</v>
      </c>
      <c r="C6" s="23" t="n">
        <v>8</v>
      </c>
      <c r="D6" s="23" t="n">
        <v>15</v>
      </c>
      <c r="E6" s="35" t="n">
        <v>53.3</v>
      </c>
      <c r="F6" s="25" t="inlineStr">
        <is>
          <t>توان فنی مناسب برای MVP و توسعه پایلوت</t>
        </is>
      </c>
    </row>
    <row r="7">
      <c r="A7" s="26" t="inlineStr">
        <is>
          <t>Market HR</t>
        </is>
      </c>
      <c r="B7" s="26" t="n">
        <v>8</v>
      </c>
      <c r="C7" s="26" t="n">
        <v>6</v>
      </c>
      <c r="D7" s="26" t="n">
        <v>15</v>
      </c>
      <c r="E7" s="34" t="n">
        <v>40</v>
      </c>
      <c r="F7" s="28" t="inlineStr">
        <is>
          <t>فروش B2B باید تقویت شود</t>
        </is>
      </c>
    </row>
    <row r="8">
      <c r="A8" s="23" t="inlineStr">
        <is>
          <t>Market-TAM/SAM/SOM</t>
        </is>
      </c>
      <c r="B8" s="23" t="n">
        <v>7</v>
      </c>
      <c r="C8" s="23" t="n">
        <v>4</v>
      </c>
      <c r="D8" s="23" t="n">
        <v>15</v>
      </c>
      <c r="E8" s="36" t="n">
        <v>26.7</v>
      </c>
      <c r="F8" s="25" t="inlineStr">
        <is>
          <t>بازار قابل دفاع اما نیازمند اعتبارسنجی میدانی</t>
        </is>
      </c>
    </row>
    <row r="9">
      <c r="A9" s="26" t="inlineStr">
        <is>
          <t>Domestic/Foreign Rivals</t>
        </is>
      </c>
      <c r="B9" s="26" t="n">
        <v>7</v>
      </c>
      <c r="C9" s="26" t="n">
        <v>4</v>
      </c>
      <c r="D9" s="26" t="n">
        <v>15</v>
      </c>
      <c r="E9" s="37" t="n">
        <v>26.7</v>
      </c>
      <c r="F9" s="28" t="inlineStr">
        <is>
          <t>رقابت جدی، تمایز باید در پایلوت اثبات شود</t>
        </is>
      </c>
    </row>
    <row r="10">
      <c r="A10" s="23" t="inlineStr">
        <is>
          <t>Strategy &amp; Channels</t>
        </is>
      </c>
      <c r="B10" s="23" t="n">
        <v>7</v>
      </c>
      <c r="C10" s="23" t="n">
        <v>5</v>
      </c>
      <c r="D10" s="23" t="n">
        <v>15</v>
      </c>
      <c r="E10" s="36" t="n">
        <v>33.3</v>
      </c>
      <c r="F10" s="25" t="inlineStr">
        <is>
          <t>استراتژی پایلوت و کانال نرم‌افزاری منطقی است</t>
        </is>
      </c>
    </row>
    <row r="11">
      <c r="A11" s="26" t="inlineStr">
        <is>
          <t>Cash Flow In 3 Years</t>
        </is>
      </c>
      <c r="B11" s="26" t="n">
        <v>6</v>
      </c>
      <c r="C11" s="26" t="n">
        <v>3</v>
      </c>
      <c r="D11" s="26" t="n">
        <v>15</v>
      </c>
      <c r="E11" s="37" t="n">
        <v>20</v>
      </c>
      <c r="F11" s="28" t="inlineStr">
        <is>
          <t>پیش‌بینی‌ها محافظه‌کارانه و وابسته به فروش اول است</t>
        </is>
      </c>
    </row>
    <row r="12">
      <c r="A12" s="23" t="inlineStr">
        <is>
          <t>Growth Stage</t>
        </is>
      </c>
      <c r="B12" s="23" t="n">
        <v>8</v>
      </c>
      <c r="C12" s="23" t="n">
        <v>4</v>
      </c>
      <c r="D12" s="23" t="n">
        <v>15</v>
      </c>
      <c r="E12" s="36" t="n">
        <v>26.7</v>
      </c>
      <c r="F12" s="25" t="inlineStr">
        <is>
          <t>در مرحله MVP تا پایلوت</t>
        </is>
      </c>
    </row>
    <row r="13">
      <c r="A13" s="26" t="inlineStr">
        <is>
          <t>Scalability</t>
        </is>
      </c>
      <c r="B13" s="26" t="n">
        <v>5</v>
      </c>
      <c r="C13" s="26" t="n">
        <v>4</v>
      </c>
      <c r="D13" s="26" t="n">
        <v>15</v>
      </c>
      <c r="E13" s="37" t="n">
        <v>26.7</v>
      </c>
      <c r="F13" s="28" t="inlineStr">
        <is>
          <t>مدل API و Enterprise قابلیت مقیاس دارد</t>
        </is>
      </c>
    </row>
    <row r="14">
      <c r="A14" s="23" t="inlineStr">
        <is>
          <t>Technical Knowledge</t>
        </is>
      </c>
      <c r="B14" s="23" t="n">
        <v>2</v>
      </c>
      <c r="C14" s="23" t="n">
        <v>2</v>
      </c>
      <c r="D14" s="23" t="n">
        <v>15</v>
      </c>
      <c r="E14" s="36" t="n">
        <v>13.3</v>
      </c>
      <c r="F14" s="25" t="inlineStr">
        <is>
          <t>دانش فنی نقطه قوت اصلی است</t>
        </is>
      </c>
    </row>
    <row r="15">
      <c r="A15" s="26" t="inlineStr">
        <is>
          <t>Product Stage</t>
        </is>
      </c>
      <c r="B15" s="26" t="n">
        <v>3</v>
      </c>
      <c r="C15" s="26" t="n">
        <v>3</v>
      </c>
      <c r="D15" s="26" t="n">
        <v>15</v>
      </c>
      <c r="E15" s="37" t="n">
        <v>20</v>
      </c>
      <c r="F15" s="28" t="inlineStr">
        <is>
          <t>MVP آماده دمو</t>
        </is>
      </c>
    </row>
    <row r="16">
      <c r="A16" s="23" t="inlineStr">
        <is>
          <t>Technology</t>
        </is>
      </c>
      <c r="B16" s="23" t="n">
        <v>2</v>
      </c>
      <c r="C16" s="23" t="n">
        <v>2</v>
      </c>
      <c r="D16" s="23" t="n">
        <v>15</v>
      </c>
      <c r="E16" s="36" t="n">
        <v>13.3</v>
      </c>
      <c r="F16" s="25" t="inlineStr">
        <is>
          <t>ترکیب RAG، امنیت و Agentic retrieval</t>
        </is>
      </c>
    </row>
    <row r="17">
      <c r="A17" s="26" t="inlineStr">
        <is>
          <t>Innovation</t>
        </is>
      </c>
      <c r="B17" s="26" t="n">
        <v>3</v>
      </c>
      <c r="C17" s="26" t="n">
        <v>3</v>
      </c>
      <c r="D17" s="26" t="n">
        <v>15</v>
      </c>
      <c r="E17" s="37" t="n">
        <v>20</v>
      </c>
      <c r="F17" s="28" t="inlineStr">
        <is>
          <t>تمرکز فارسی، امنیت و یکپارچگی داخلی</t>
        </is>
      </c>
    </row>
    <row r="18">
      <c r="A18" s="30" t="inlineStr">
        <is>
          <t>میانگین وزنی</t>
        </is>
      </c>
      <c r="B18" s="31" t="n"/>
      <c r="C18" s="31" t="n"/>
      <c r="D18" s="31" t="n"/>
      <c r="E18" s="38" t="n">
        <v>37.5</v>
      </c>
      <c r="F18" s="3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2026-07-02T14:49:48Z</dcterms:created>
  <dcterms:modified xmlns:dcterms="http://purl.org/dc/terms/" xmlns:xsi="http://www.w3.org/2001/XMLSchema-instance" xsi:type="dcterms:W3CDTF">2026-07-02T14:49:48Z</dcterms:modified>
</cp:coreProperties>
</file>